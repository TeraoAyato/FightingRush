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eraoAyato\Documents\GitHub\NatuSakuhin\"/>
    </mc:Choice>
  </mc:AlternateContent>
  <xr:revisionPtr revIDLastSave="0" documentId="13_ncr:1_{026DB416-F215-44A3-8FA4-D2776D8516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1" l="1"/>
  <c r="H12" i="1"/>
  <c r="I14" i="1"/>
  <c r="H13" i="1"/>
  <c r="I13" i="1" s="1"/>
  <c r="C5" i="1"/>
  <c r="C11" i="1"/>
  <c r="I12" i="1" l="1"/>
  <c r="H5" i="1"/>
  <c r="H3" i="1"/>
  <c r="H6" i="1"/>
  <c r="K13" i="1" s="1"/>
  <c r="H2" i="1"/>
  <c r="J13" i="1" l="1"/>
  <c r="L13" i="1"/>
  <c r="K14" i="1"/>
  <c r="L14" i="1" s="1"/>
  <c r="J14" i="1"/>
  <c r="K12" i="1"/>
  <c r="L12" i="1" s="1"/>
  <c r="H4" i="1"/>
  <c r="J4" i="1" s="1"/>
  <c r="J12" i="1"/>
  <c r="K4" i="1"/>
  <c r="L4" i="1" s="1"/>
</calcChain>
</file>

<file path=xl/sharedStrings.xml><?xml version="1.0" encoding="utf-8"?>
<sst xmlns="http://schemas.openxmlformats.org/spreadsheetml/2006/main" count="104" uniqueCount="62">
  <si>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</si>
  <si>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</si>
  <si>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</si>
  <si>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</si>
  <si>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</si>
  <si>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</si>
  <si>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</si>
  <si>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</si>
  <si>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</si>
  <si>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</si>
  <si>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</si>
  <si>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</si>
  <si>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</si>
  <si>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</si>
  <si>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</si>
  <si>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</si>
  <si>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</si>
  <si>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</si>
  <si>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</si>
  <si>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</si>
  <si>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</si>
  <si>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</si>
  <si>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</si>
  <si>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</si>
  <si>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</si>
  <si>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</si>
  <si>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</si>
  <si>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</si>
  <si>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</si>
  <si>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</si>
  <si>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</si>
  <si>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</si>
  <si>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</si>
  <si>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</si>
  <si>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</si>
  <si>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</si>
  <si>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</si>
  <si>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</si>
  <si>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</si>
  <si>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画面遷移</t>
  </si>
  <si>
    <t>　ー　プレイヤー操作</t>
  </si>
  <si>
    <t>・エフェクト</t>
  </si>
  <si>
    <t>　ー　エフェクト再生</t>
  </si>
  <si>
    <t>　ー　エフェクト実装</t>
  </si>
  <si>
    <t>・ビルドテスト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</si>
  <si>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</si>
  <si>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</si>
  <si>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</si>
  <si>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</si>
  <si>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</si>
  <si>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</si>
  <si>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</si>
  <si>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</si>
  <si>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</si>
  <si>
    <t>完了</t>
    <rPh sb="0" eb="2">
      <t>カンリョウ</t>
    </rPh>
    <phoneticPr fontId="1"/>
  </si>
  <si>
    <t>未完</t>
    <rPh sb="0" eb="2">
      <t>ミカン</t>
    </rPh>
    <phoneticPr fontId="1"/>
  </si>
  <si>
    <t>　ー　AI</t>
    <phoneticPr fontId="1"/>
  </si>
  <si>
    <t>完了</t>
    <rPh sb="0" eb="2">
      <t>カンリョウ</t>
    </rPh>
    <phoneticPr fontId="1"/>
  </si>
  <si>
    <t>・敵</t>
    <rPh sb="1" eb="2">
      <t>テキ</t>
    </rPh>
    <phoneticPr fontId="1"/>
  </si>
  <si>
    <t>　ー　プレイヤー追従</t>
    <rPh sb="8" eb="10">
      <t>ツイジュウ</t>
    </rPh>
    <phoneticPr fontId="1"/>
  </si>
  <si>
    <t>全体</t>
    <rPh sb="0" eb="2">
      <t>ゼンタイ</t>
    </rPh>
    <phoneticPr fontId="1"/>
  </si>
  <si>
    <t>　ー 　クリアタイム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</si>
</sst>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0" borderId="2" xfId="0" applyBorder="1"/>
    <xf numFmtId="0" fontId="0" fillId="9" borderId="3" xfId="0" applyFill="1" applyBorder="1"/>
    <xf numFmtId="0" fontId="0" fillId="12" borderId="3" xfId="0" applyFill="1" applyBorder="1"/>
    <xf numFmtId="0" fontId="2" fillId="3" borderId="4" xfId="0" applyFont="1" applyFill="1" applyBorder="1"/>
    <xf numFmtId="0" fontId="0" fillId="9" borderId="2" xfId="0" applyFill="1" applyBorder="1"/>
    <xf numFmtId="0" fontId="0" fillId="12" borderId="5" xfId="0" applyFill="1" applyBorder="1"/>
    <xf numFmtId="0" fontId="3" fillId="9" borderId="1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44" totalsRowShown="0" headerRowDxfId="5" dataDxfId="3" headerRowBorderDxfId="4" tableBorderDxfId="2" totalsRowBorderDxfId="1">
  <autoFilter ref="E2:E44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5"/>
  <sheetViews>
    <sheetView tabSelected="1" zoomScaleNormal="100" workbookViewId="0">
      <selection activeCell="K12" sqref="K12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60</v>
      </c>
      <c r="C2" s="5" t="s">
        <v>1</v>
      </c>
      <c r="D2" s="6" t="s">
        <v>2</v>
      </c>
      <c r="E2" s="18" t="s">
        <v>3</v>
      </c>
      <c r="G2" s="9" t="s">
        <v>4</v>
      </c>
      <c r="H2">
        <f>SUM(C3:C44)</f>
        <v>142</v>
      </c>
    </row>
    <row r="3" spans="1:12">
      <c r="B3" s="8" t="s">
        <v>5</v>
      </c>
      <c r="C3" s="8">
        <v>2</v>
      </c>
      <c r="D3" s="8">
        <v>1</v>
      </c>
      <c r="E3" s="17" t="s">
        <v>57</v>
      </c>
      <c r="G3" s="10" t="s">
        <v>6</v>
      </c>
      <c r="H3">
        <f>SUMIF(E3:E44,"完了",C3:C44)</f>
        <v>142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>
        <v>1</v>
      </c>
      <c r="E4" s="17" t="s">
        <v>54</v>
      </c>
      <c r="G4" s="11" t="s">
        <v>10</v>
      </c>
      <c r="H4" s="2">
        <f ca="1">NETWORKDAYS(H5,H6)</f>
        <v>23</v>
      </c>
      <c r="I4" t="s">
        <v>11</v>
      </c>
      <c r="J4" s="3">
        <f ca="1" xml:space="preserve"> H3 / H4</f>
        <v>6.1739130434782608</v>
      </c>
      <c r="K4" s="2">
        <f ca="1">_xlfn.DAYS(H6,H5)</f>
        <v>32</v>
      </c>
      <c r="L4" s="3">
        <f ca="1">H3/K4</f>
        <v>4.4375</v>
      </c>
    </row>
    <row r="5" spans="1:12">
      <c r="B5" s="8" t="s">
        <v>45</v>
      </c>
      <c r="C5" s="8">
        <f>SUM(C6:C10)</f>
        <v>3</v>
      </c>
      <c r="D5" s="8"/>
      <c r="E5" s="17" t="s">
        <v>54</v>
      </c>
      <c r="G5" s="12" t="s">
        <v>12</v>
      </c>
      <c r="H5" s="1">
        <f>DATE(2026,7,25)</f>
        <v>46228</v>
      </c>
    </row>
    <row r="6" spans="1:12">
      <c r="B6" s="7" t="s">
        <v>13</v>
      </c>
      <c r="C6" s="7">
        <v>1</v>
      </c>
      <c r="D6" s="7">
        <v>1</v>
      </c>
      <c r="E6" s="16" t="s">
        <v>54</v>
      </c>
      <c r="G6" s="13" t="s">
        <v>14</v>
      </c>
      <c r="H6" s="1">
        <f ca="1">TODAY()</f>
        <v>46260</v>
      </c>
    </row>
    <row r="7" spans="1:12">
      <c r="B7" s="7" t="s">
        <v>15</v>
      </c>
      <c r="C7" s="7">
        <v>0.5</v>
      </c>
      <c r="D7" s="7">
        <v>1</v>
      </c>
      <c r="E7" s="16" t="s">
        <v>54</v>
      </c>
    </row>
    <row r="8" spans="1:12">
      <c r="B8" s="7" t="s">
        <v>16</v>
      </c>
      <c r="C8" s="7">
        <v>0.5</v>
      </c>
      <c r="D8" s="7">
        <v>1</v>
      </c>
      <c r="E8" s="16" t="s">
        <v>54</v>
      </c>
    </row>
    <row r="9" spans="1:12">
      <c r="B9" s="7" t="s">
        <v>17</v>
      </c>
      <c r="C9" s="7">
        <v>0.5</v>
      </c>
      <c r="D9" s="7">
        <v>1</v>
      </c>
      <c r="E9" s="16" t="s">
        <v>54</v>
      </c>
    </row>
    <row r="10" spans="1:12">
      <c r="B10" s="7" t="s">
        <v>18</v>
      </c>
      <c r="C10" s="7">
        <v>0.5</v>
      </c>
      <c r="D10" s="7">
        <v>1</v>
      </c>
      <c r="E10" s="16" t="s">
        <v>54</v>
      </c>
    </row>
    <row r="11" spans="1:12">
      <c r="B11" s="8" t="s">
        <v>51</v>
      </c>
      <c r="C11" s="8">
        <f>SUM(C12:C21)</f>
        <v>30</v>
      </c>
      <c r="D11" s="8">
        <v>28</v>
      </c>
      <c r="E11" s="8" t="s">
        <v>54</v>
      </c>
      <c r="I11" t="s">
        <v>19</v>
      </c>
      <c r="J11" t="s">
        <v>20</v>
      </c>
      <c r="K11" t="s">
        <v>21</v>
      </c>
      <c r="L11" t="s">
        <v>22</v>
      </c>
    </row>
    <row r="12" spans="1:12">
      <c r="B12" s="7" t="s">
        <v>26</v>
      </c>
      <c r="C12" s="7">
        <v>3</v>
      </c>
      <c r="D12" s="7">
        <v>3</v>
      </c>
      <c r="E12" s="16" t="s">
        <v>54</v>
      </c>
      <c r="G12" s="9" t="s">
        <v>23</v>
      </c>
      <c r="H12" s="1">
        <f>DATE(2026,8,28)</f>
        <v>46262</v>
      </c>
      <c r="I12" s="2">
        <f ca="1">NETWORKDAYS(TODAY(),H12)</f>
        <v>3</v>
      </c>
      <c r="J12" s="3">
        <f ca="1">($H$2 - $H$3) / I12</f>
        <v>0</v>
      </c>
      <c r="K12">
        <f ca="1">_xlfn.DAYS(H12,$H$6)</f>
        <v>2</v>
      </c>
      <c r="L12" s="3">
        <f ca="1">($H$2 - $H$3) / K12</f>
        <v>0</v>
      </c>
    </row>
    <row r="13" spans="1:12">
      <c r="B13" s="7" t="s">
        <v>52</v>
      </c>
      <c r="C13" s="7">
        <v>6</v>
      </c>
      <c r="D13" s="7">
        <v>10</v>
      </c>
      <c r="E13" s="16" t="s">
        <v>54</v>
      </c>
      <c r="G13" s="14" t="s">
        <v>24</v>
      </c>
      <c r="H13" s="1">
        <f>DATE(2026,8,30)</f>
        <v>46264</v>
      </c>
      <c r="I13" s="2">
        <f t="shared" ref="I13:I14" ca="1" si="0">NETWORKDAYS(TODAY(),H13)</f>
        <v>3</v>
      </c>
      <c r="J13" s="3">
        <f ca="1">($H$2 - $H$3) / I13</f>
        <v>0</v>
      </c>
      <c r="K13">
        <f t="shared" ref="K13:K14" ca="1" si="1">_xlfn.DAYS(H13,$H$6)</f>
        <v>4</v>
      </c>
      <c r="L13" s="3">
        <f ca="1">($H$2 - $H$3) / K13</f>
        <v>0</v>
      </c>
    </row>
    <row r="14" spans="1:12">
      <c r="B14" s="7" t="s">
        <v>48</v>
      </c>
      <c r="C14" s="7">
        <v>3</v>
      </c>
      <c r="D14" s="7">
        <v>2</v>
      </c>
      <c r="E14" s="16" t="s">
        <v>54</v>
      </c>
      <c r="G14" s="11" t="s">
        <v>25</v>
      </c>
      <c r="H14" s="1">
        <f>DATE(2026,8,31)</f>
        <v>46265</v>
      </c>
      <c r="I14" s="2">
        <f t="shared" ca="1" si="0"/>
        <v>4</v>
      </c>
      <c r="J14" s="3">
        <f ca="1">($H$2 - $H$3) / I14</f>
        <v>0</v>
      </c>
      <c r="K14">
        <f t="shared" ca="1" si="1"/>
        <v>5</v>
      </c>
      <c r="L14" s="3">
        <f ca="1">($H$2 - $H$3) / K14</f>
        <v>0</v>
      </c>
    </row>
    <row r="15" spans="1:12">
      <c r="B15" s="7" t="s">
        <v>53</v>
      </c>
      <c r="C15" s="7">
        <v>3</v>
      </c>
      <c r="D15" s="7">
        <v>2</v>
      </c>
      <c r="E15" s="16" t="s">
        <v>54</v>
      </c>
    </row>
    <row r="16" spans="1:12">
      <c r="B16" s="7" t="s">
        <v>49</v>
      </c>
      <c r="C16" s="7">
        <v>3</v>
      </c>
      <c r="D16" s="7">
        <v>2</v>
      </c>
      <c r="E16" s="16" t="s">
        <v>54</v>
      </c>
    </row>
    <row r="17" spans="2:5">
      <c r="B17" s="7" t="s">
        <v>53</v>
      </c>
      <c r="C17" s="7">
        <v>2</v>
      </c>
      <c r="D17" s="7">
        <v>1</v>
      </c>
      <c r="E17" s="16" t="s">
        <v>54</v>
      </c>
    </row>
    <row r="18" spans="2:5">
      <c r="B18" s="7" t="s">
        <v>50</v>
      </c>
      <c r="C18" s="7">
        <v>3</v>
      </c>
      <c r="D18" s="7">
        <v>2</v>
      </c>
      <c r="E18" s="16" t="s">
        <v>54</v>
      </c>
    </row>
    <row r="19" spans="2:5">
      <c r="B19" s="7" t="s">
        <v>53</v>
      </c>
      <c r="C19" s="7">
        <v>2</v>
      </c>
      <c r="D19" s="7">
        <v>1</v>
      </c>
      <c r="E19" s="16" t="s">
        <v>54</v>
      </c>
    </row>
    <row r="20" spans="2:5">
      <c r="B20" s="7" t="s">
        <v>27</v>
      </c>
      <c r="C20" s="7">
        <v>2</v>
      </c>
      <c r="D20" s="7">
        <v>2</v>
      </c>
      <c r="E20" s="16" t="s">
        <v>54</v>
      </c>
    </row>
    <row r="21" spans="2:5">
      <c r="B21" s="7" t="s">
        <v>28</v>
      </c>
      <c r="C21" s="7">
        <v>3</v>
      </c>
      <c r="D21" s="7">
        <v>3</v>
      </c>
      <c r="E21" s="16" t="s">
        <v>54</v>
      </c>
    </row>
    <row r="22" spans="2:5">
      <c r="B22" s="8" t="s">
        <v>58</v>
      </c>
      <c r="C22" s="8">
        <v>12</v>
      </c>
      <c r="D22" s="8">
        <v>10</v>
      </c>
      <c r="E22" s="17" t="s">
        <v>54</v>
      </c>
    </row>
    <row r="23" spans="2:5">
      <c r="B23" s="7" t="s">
        <v>56</v>
      </c>
      <c r="C23" s="7">
        <v>10</v>
      </c>
      <c r="D23" s="7">
        <v>8</v>
      </c>
      <c r="E23" s="19" t="s">
        <v>54</v>
      </c>
    </row>
    <row r="24" spans="2:5">
      <c r="B24" s="7" t="s">
        <v>59</v>
      </c>
      <c r="C24" s="7">
        <v>2</v>
      </c>
      <c r="D24" s="7">
        <v>2</v>
      </c>
      <c r="E24" s="16" t="s">
        <v>57</v>
      </c>
    </row>
    <row r="25" spans="2:5">
      <c r="B25" s="8" t="s">
        <v>29</v>
      </c>
      <c r="C25" s="8">
        <v>10</v>
      </c>
      <c r="D25" s="8">
        <v>12</v>
      </c>
      <c r="E25" s="17" t="s">
        <v>54</v>
      </c>
    </row>
    <row r="26" spans="2:5">
      <c r="B26" s="7" t="s">
        <v>30</v>
      </c>
      <c r="C26" s="7">
        <v>5</v>
      </c>
      <c r="D26" s="7">
        <v>6</v>
      </c>
      <c r="E26" s="16" t="s">
        <v>54</v>
      </c>
    </row>
    <row r="27" spans="2:5">
      <c r="B27" s="7" t="s">
        <v>31</v>
      </c>
      <c r="C27" s="7">
        <v>5</v>
      </c>
      <c r="D27" s="7">
        <v>6</v>
      </c>
      <c r="E27" s="16" t="s">
        <v>54</v>
      </c>
    </row>
    <row r="28" spans="2:5">
      <c r="B28" s="8" t="s">
        <v>32</v>
      </c>
      <c r="C28" s="8">
        <v>5</v>
      </c>
      <c r="D28" s="8">
        <v>5</v>
      </c>
      <c r="E28" s="17" t="s">
        <v>54</v>
      </c>
    </row>
    <row r="29" spans="2:5">
      <c r="B29" s="7" t="s">
        <v>33</v>
      </c>
      <c r="C29" s="7">
        <v>2</v>
      </c>
      <c r="D29" s="7">
        <v>2</v>
      </c>
      <c r="E29" s="16" t="s">
        <v>54</v>
      </c>
    </row>
    <row r="30" spans="2:5">
      <c r="B30" s="7" t="s">
        <v>34</v>
      </c>
      <c r="C30" s="7">
        <v>2</v>
      </c>
      <c r="D30" s="7">
        <v>2</v>
      </c>
      <c r="E30" s="16" t="s">
        <v>54</v>
      </c>
    </row>
    <row r="31" spans="2:5">
      <c r="B31" s="7" t="s">
        <v>35</v>
      </c>
      <c r="C31" s="7">
        <v>1</v>
      </c>
      <c r="D31" s="7">
        <v>1</v>
      </c>
      <c r="E31" s="16" t="s">
        <v>54</v>
      </c>
    </row>
    <row r="32" spans="2:5">
      <c r="B32" s="8" t="s">
        <v>36</v>
      </c>
      <c r="C32" s="8">
        <v>7</v>
      </c>
      <c r="D32" s="8">
        <v>7</v>
      </c>
      <c r="E32" s="17" t="s">
        <v>54</v>
      </c>
    </row>
    <row r="33" spans="2:5">
      <c r="B33" s="7" t="s">
        <v>37</v>
      </c>
      <c r="C33" s="7">
        <v>1</v>
      </c>
      <c r="D33" s="7">
        <v>1</v>
      </c>
      <c r="E33" s="16" t="s">
        <v>54</v>
      </c>
    </row>
    <row r="34" spans="2:5">
      <c r="B34" s="7" t="s">
        <v>38</v>
      </c>
      <c r="C34" s="7">
        <v>1</v>
      </c>
      <c r="D34" s="7">
        <v>1</v>
      </c>
      <c r="E34" s="16" t="s">
        <v>54</v>
      </c>
    </row>
    <row r="35" spans="2:5">
      <c r="B35" s="7" t="s">
        <v>46</v>
      </c>
      <c r="C35" s="7">
        <v>1</v>
      </c>
      <c r="D35" s="7">
        <v>0.5</v>
      </c>
      <c r="E35" s="16" t="s">
        <v>54</v>
      </c>
    </row>
    <row r="36" spans="2:5">
      <c r="B36" s="7" t="s">
        <v>61</v>
      </c>
      <c r="C36" s="7">
        <v>0.5</v>
      </c>
      <c r="D36" s="7">
        <v>0.5</v>
      </c>
      <c r="E36" s="16" t="s">
        <v>54</v>
      </c>
    </row>
    <row r="37" spans="2:5">
      <c r="B37" s="7" t="s">
        <v>47</v>
      </c>
      <c r="C37" s="7">
        <v>1</v>
      </c>
      <c r="D37" s="7">
        <v>0.5</v>
      </c>
      <c r="E37" s="16" t="s">
        <v>54</v>
      </c>
    </row>
    <row r="38" spans="2:5">
      <c r="B38" s="7" t="s">
        <v>39</v>
      </c>
      <c r="C38" s="7">
        <v>1</v>
      </c>
      <c r="D38" s="7">
        <v>2</v>
      </c>
      <c r="E38" s="16" t="s">
        <v>54</v>
      </c>
    </row>
    <row r="39" spans="2:5">
      <c r="B39" s="21" t="s">
        <v>40</v>
      </c>
      <c r="C39" s="21">
        <v>2</v>
      </c>
      <c r="D39" s="21">
        <v>2</v>
      </c>
      <c r="E39" s="16" t="s">
        <v>54</v>
      </c>
    </row>
    <row r="40" spans="2:5">
      <c r="B40" s="21" t="s">
        <v>40</v>
      </c>
      <c r="C40" s="21">
        <v>0.5</v>
      </c>
      <c r="D40" s="21">
        <v>0.5</v>
      </c>
      <c r="E40" s="16" t="s">
        <v>54</v>
      </c>
    </row>
    <row r="41" spans="2:5">
      <c r="B41" s="8" t="s">
        <v>41</v>
      </c>
      <c r="C41" s="8">
        <v>2</v>
      </c>
      <c r="D41" s="8">
        <v>2</v>
      </c>
      <c r="E41" s="17" t="s">
        <v>54</v>
      </c>
    </row>
    <row r="42" spans="2:5">
      <c r="B42" s="7" t="s">
        <v>42</v>
      </c>
      <c r="C42" s="7">
        <v>1</v>
      </c>
      <c r="D42" s="7">
        <v>1</v>
      </c>
      <c r="E42" s="16" t="s">
        <v>54</v>
      </c>
    </row>
    <row r="43" spans="2:5">
      <c r="B43" s="7" t="s">
        <v>43</v>
      </c>
      <c r="C43" s="7">
        <v>1</v>
      </c>
      <c r="D43" s="7">
        <v>1</v>
      </c>
      <c r="E43" s="19" t="s">
        <v>54</v>
      </c>
    </row>
    <row r="44" spans="2:5">
      <c r="B44" s="8" t="s">
        <v>44</v>
      </c>
      <c r="C44" s="8"/>
      <c r="D44" s="20"/>
      <c r="E44" s="8" t="s">
        <v>55</v>
      </c>
    </row>
    <row r="45" spans="2:5">
      <c r="D45" s="15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2026-08-26T04:59:28Z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