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rain\Documents\GitHub\NatuSakuhin\"/>
    </mc:Choice>
  </mc:AlternateContent>
  <xr:revisionPtr revIDLastSave="0" documentId="13_ncr:1_{D5A028F5-1C8B-4C1A-8D32-503743065D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プロト" sheetId="1" r:id="rId1"/>
    <sheet name="ベータ" sheetId="2" r:id="rId2"/>
    <sheet name="マスタ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" l="1"/>
  <c r="C42" i="1"/>
  <c r="D28" i="1"/>
  <c r="C28" i="1"/>
  <c r="D25" i="1"/>
  <c r="C25" i="1"/>
  <c r="D22" i="1"/>
  <c r="C22" i="1"/>
  <c r="D11" i="1"/>
  <c r="D5" i="1"/>
  <c r="C32" i="1"/>
  <c r="D32" i="1"/>
  <c r="H14" i="1"/>
  <c r="H12" i="1"/>
  <c r="I14" i="1"/>
  <c r="H13" i="1"/>
  <c r="I13" i="1" s="1"/>
  <c r="C5" i="1"/>
  <c r="C11" i="1"/>
  <c r="I12" i="1" l="1"/>
  <c r="H5" i="1"/>
  <c r="H3" i="1"/>
  <c r="H6" i="1"/>
  <c r="K13" i="1" s="1"/>
  <c r="H2" i="1"/>
  <c r="J13" i="1" l="1"/>
  <c r="L13" i="1"/>
  <c r="K14" i="1"/>
  <c r="L14" i="1" s="1"/>
  <c r="J14" i="1"/>
  <c r="K12" i="1"/>
  <c r="L12" i="1" s="1"/>
  <c r="H4" i="1"/>
  <c r="J4" i="1" s="1"/>
  <c r="J12" i="1"/>
  <c r="K4" i="1"/>
  <c r="L4" i="1" s="1"/>
</calcChain>
</file>

<file path=xl/sharedStrings.xml><?xml version="1.0" encoding="utf-8"?>
<sst xmlns="http://schemas.openxmlformats.org/spreadsheetml/2006/main" count="106" uniqueCount="64">
  <si>
    <t>1コスト:3時間 (1日は基本2コスト)</t>
  </si>
  <si>
    <t>コスト</t>
    <phoneticPr fontId="1"/>
  </si>
  <si>
    <t>実コスト</t>
    <rPh sb="0" eb="1">
      <t>ジツ</t>
    </rPh>
    <phoneticPr fontId="1"/>
  </si>
  <si>
    <t>判定</t>
    <rPh sb="0" eb="2">
      <t>ハンテイ</t>
    </rPh>
    <phoneticPr fontId="1"/>
  </si>
  <si>
    <t>総コスト</t>
    <rPh sb="0" eb="1">
      <t>ソウ</t>
    </rPh>
    <phoneticPr fontId="1"/>
  </si>
  <si>
    <t>・クラス設計</t>
    <rPh sb="4" eb="6">
      <t>セッケイ</t>
    </rPh>
    <phoneticPr fontId="1"/>
  </si>
  <si>
    <t>消化コスト</t>
    <rPh sb="0" eb="2">
      <t>ショウカ</t>
    </rPh>
    <phoneticPr fontId="1"/>
  </si>
  <si>
    <t>土日含む日数</t>
    <rPh sb="0" eb="3">
      <t>ドニチフク</t>
    </rPh>
    <rPh sb="4" eb="6">
      <t>ニッスウ</t>
    </rPh>
    <phoneticPr fontId="1"/>
  </si>
  <si>
    <t>消費コスト / 土日含む日数</t>
    <rPh sb="0" eb="2">
      <t>ショウヒ</t>
    </rPh>
    <rPh sb="8" eb="11">
      <t>ドニチフク</t>
    </rPh>
    <rPh sb="12" eb="14">
      <t>ニッスウ</t>
    </rPh>
    <phoneticPr fontId="1"/>
  </si>
  <si>
    <t>・ライブラリ設計</t>
    <rPh sb="6" eb="8">
      <t>セッケイ</t>
    </rPh>
    <phoneticPr fontId="1"/>
  </si>
  <si>
    <t>現在の日数(土日除く)</t>
    <rPh sb="0" eb="2">
      <t>ゲンザイ</t>
    </rPh>
    <rPh sb="3" eb="5">
      <t>ニッスウ</t>
    </rPh>
    <rPh sb="6" eb="8">
      <t>ドニチ</t>
    </rPh>
    <rPh sb="8" eb="9">
      <t>ノゾ</t>
    </rPh>
    <phoneticPr fontId="1"/>
  </si>
  <si>
    <t>消費コスト / 日数</t>
    <rPh sb="0" eb="2">
      <t>ショウヒ</t>
    </rPh>
    <rPh sb="8" eb="10">
      <t>ニッスウ</t>
    </rPh>
    <phoneticPr fontId="1"/>
  </si>
  <si>
    <t>開始日</t>
    <rPh sb="0" eb="3">
      <t>カイシビ</t>
    </rPh>
    <phoneticPr fontId="1"/>
  </si>
  <si>
    <t>　ー　モデル</t>
    <phoneticPr fontId="1"/>
  </si>
  <si>
    <t>今日の日付</t>
    <rPh sb="0" eb="2">
      <t>キョウ</t>
    </rPh>
    <rPh sb="3" eb="5">
      <t>ヒヅケ</t>
    </rPh>
    <phoneticPr fontId="1"/>
  </si>
  <si>
    <t>　ー　UI素材</t>
    <rPh sb="5" eb="7">
      <t>ソザイ</t>
    </rPh>
    <phoneticPr fontId="1"/>
  </si>
  <si>
    <t>　ー　SE</t>
    <phoneticPr fontId="1"/>
  </si>
  <si>
    <t>　ー　BGM</t>
    <phoneticPr fontId="1"/>
  </si>
  <si>
    <t>　ー　マップ素材</t>
    <rPh sb="6" eb="8">
      <t>ソザイ</t>
    </rPh>
    <phoneticPr fontId="1"/>
  </si>
  <si>
    <t>残り日数(土日除く)</t>
    <rPh sb="0" eb="1">
      <t>ノコ</t>
    </rPh>
    <rPh sb="2" eb="4">
      <t>ニッスウ</t>
    </rPh>
    <rPh sb="5" eb="7">
      <t>ドニチ</t>
    </rPh>
    <rPh sb="7" eb="8">
      <t>ノゾ</t>
    </rPh>
    <phoneticPr fontId="1"/>
  </si>
  <si>
    <t>一日の消費コスト</t>
    <rPh sb="0" eb="2">
      <t>イチニチ</t>
    </rPh>
    <rPh sb="3" eb="5">
      <t>ショウヒ</t>
    </rPh>
    <phoneticPr fontId="1"/>
  </si>
  <si>
    <t>残り日数(土日含む)</t>
    <rPh sb="0" eb="1">
      <t>ノコ</t>
    </rPh>
    <rPh sb="2" eb="4">
      <t>ニッスウ</t>
    </rPh>
    <rPh sb="5" eb="8">
      <t>ドニチフク</t>
    </rPh>
    <phoneticPr fontId="1"/>
  </si>
  <si>
    <t>土日込みの消費コスト</t>
    <rPh sb="0" eb="2">
      <t>ドニチ</t>
    </rPh>
    <rPh sb="2" eb="3">
      <t>コ</t>
    </rPh>
    <rPh sb="5" eb="7">
      <t>ショウヒ</t>
    </rPh>
    <phoneticPr fontId="1"/>
  </si>
  <si>
    <t>理想</t>
    <rPh sb="0" eb="2">
      <t>リソウ</t>
    </rPh>
    <phoneticPr fontId="1"/>
  </si>
  <si>
    <t>デッドライン</t>
    <phoneticPr fontId="1"/>
  </si>
  <si>
    <t>真実のデッドライン</t>
    <rPh sb="0" eb="2">
      <t>シンジツ</t>
    </rPh>
    <phoneticPr fontId="1"/>
  </si>
  <si>
    <t>　―　移動</t>
    <phoneticPr fontId="1"/>
  </si>
  <si>
    <t>　－　死亡</t>
    <rPh sb="3" eb="5">
      <t>シボウ</t>
    </rPh>
    <phoneticPr fontId="1"/>
  </si>
  <si>
    <t>　－　アニメーション実装</t>
    <rPh sb="10" eb="12">
      <t>ジッソウ</t>
    </rPh>
    <phoneticPr fontId="1"/>
  </si>
  <si>
    <t>・マップ</t>
    <phoneticPr fontId="1"/>
  </si>
  <si>
    <t>　－　マップ設計</t>
  </si>
  <si>
    <t>　ー　マップ実装</t>
  </si>
  <si>
    <t>・音処理</t>
    <rPh sb="1" eb="4">
      <t>オトショリ</t>
    </rPh>
    <phoneticPr fontId="1"/>
  </si>
  <si>
    <t>　ー　BGM再生</t>
    <phoneticPr fontId="1"/>
  </si>
  <si>
    <t>　ー　SE再生</t>
  </si>
  <si>
    <t>　ー　音実装</t>
  </si>
  <si>
    <t>・UI</t>
    <phoneticPr fontId="1"/>
  </si>
  <si>
    <t>　ー　タイトル画面</t>
    <phoneticPr fontId="1"/>
  </si>
  <si>
    <t>　ー　バトル画面</t>
    <rPh sb="6" eb="8">
      <t>ガメン</t>
    </rPh>
    <phoneticPr fontId="1"/>
  </si>
  <si>
    <t>　ー　画面遷移</t>
  </si>
  <si>
    <t>　ー　プレイヤー操作</t>
  </si>
  <si>
    <t>・エフェクト</t>
  </si>
  <si>
    <t>　ー　エフェクト再生</t>
  </si>
  <si>
    <t>　ー　エフェクト実装</t>
  </si>
  <si>
    <t>・ビルドテスト</t>
    <phoneticPr fontId="1"/>
  </si>
  <si>
    <t>・プロト素材集め</t>
    <rPh sb="4" eb="6">
      <t>ソザイ</t>
    </rPh>
    <rPh sb="6" eb="7">
      <t>アツ</t>
    </rPh>
    <phoneticPr fontId="1"/>
  </si>
  <si>
    <t>　ー　ゲームクリア画面</t>
    <rPh sb="9" eb="11">
      <t>ガメン</t>
    </rPh>
    <phoneticPr fontId="1"/>
  </si>
  <si>
    <t>　ー　ゲームオーバー画面</t>
    <rPh sb="10" eb="12">
      <t>ガメン</t>
    </rPh>
    <phoneticPr fontId="1"/>
  </si>
  <si>
    <t>　―　パンチ1</t>
    <phoneticPr fontId="1"/>
  </si>
  <si>
    <t>　―　パンチ2</t>
    <phoneticPr fontId="1"/>
  </si>
  <si>
    <t>　―　パンチ3</t>
    <phoneticPr fontId="1"/>
  </si>
  <si>
    <t>・プレイヤー</t>
    <phoneticPr fontId="1"/>
  </si>
  <si>
    <t>　―　攻撃</t>
    <rPh sb="3" eb="5">
      <t>コウゲキ</t>
    </rPh>
    <phoneticPr fontId="1"/>
  </si>
  <si>
    <t>　―　当たり判定</t>
    <rPh sb="3" eb="4">
      <t>ア</t>
    </rPh>
    <rPh sb="6" eb="8">
      <t>ハンテイ</t>
    </rPh>
    <phoneticPr fontId="1"/>
  </si>
  <si>
    <t>完了</t>
    <rPh sb="0" eb="2">
      <t>カンリョウ</t>
    </rPh>
    <phoneticPr fontId="1"/>
  </si>
  <si>
    <t>未完</t>
    <rPh sb="0" eb="2">
      <t>ミカン</t>
    </rPh>
    <phoneticPr fontId="1"/>
  </si>
  <si>
    <t>　ー　AI</t>
    <phoneticPr fontId="1"/>
  </si>
  <si>
    <t>完了</t>
    <rPh sb="0" eb="2">
      <t>カンリョウ</t>
    </rPh>
    <phoneticPr fontId="1"/>
  </si>
  <si>
    <t>・敵</t>
    <rPh sb="1" eb="2">
      <t>テキ</t>
    </rPh>
    <phoneticPr fontId="1"/>
  </si>
  <si>
    <t>　ー　プレイヤー追従</t>
    <rPh sb="8" eb="10">
      <t>ツイジュウ</t>
    </rPh>
    <phoneticPr fontId="1"/>
  </si>
  <si>
    <t>全体</t>
    <rPh sb="0" eb="2">
      <t>ゼンタイ</t>
    </rPh>
    <phoneticPr fontId="1"/>
  </si>
  <si>
    <t>　ー 　クリアタイム</t>
    <phoneticPr fontId="1"/>
  </si>
  <si>
    <t>　ー　タイム</t>
    <phoneticPr fontId="1"/>
  </si>
  <si>
    <t>　ー　操作方法</t>
    <rPh sb="3" eb="7">
      <t>ソウサホウホウ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</si>
</sst>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0"/>
  </numFmts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56" fontId="0" fillId="0" borderId="0" xfId="0" applyNumberFormat="1"/>
    <xf numFmtId="176" fontId="0" fillId="0" borderId="0" xfId="0" applyNumberFormat="1"/>
    <xf numFmtId="177" fontId="0" fillId="0" borderId="0" xfId="0" applyNumberFormat="1"/>
    <xf numFmtId="0" fontId="0" fillId="4" borderId="1" xfId="0" applyFill="1" applyBorder="1"/>
    <xf numFmtId="0" fontId="2" fillId="2" borderId="1" xfId="0" applyFont="1" applyFill="1" applyBorder="1"/>
    <xf numFmtId="0" fontId="2" fillId="7" borderId="1" xfId="0" applyFont="1" applyFill="1" applyBorder="1"/>
    <xf numFmtId="0" fontId="0" fillId="9" borderId="1" xfId="0" applyFill="1" applyBorder="1"/>
    <xf numFmtId="0" fontId="0" fillId="12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0" borderId="2" xfId="0" applyBorder="1"/>
    <xf numFmtId="0" fontId="0" fillId="9" borderId="3" xfId="0" applyFill="1" applyBorder="1"/>
    <xf numFmtId="0" fontId="0" fillId="12" borderId="3" xfId="0" applyFill="1" applyBorder="1"/>
    <xf numFmtId="0" fontId="2" fillId="3" borderId="4" xfId="0" applyFont="1" applyFill="1" applyBorder="1"/>
    <xf numFmtId="0" fontId="0" fillId="9" borderId="2" xfId="0" applyFill="1" applyBorder="1"/>
    <xf numFmtId="0" fontId="0" fillId="12" borderId="5" xfId="0" applyFill="1" applyBorder="1"/>
    <xf numFmtId="0" fontId="3" fillId="9" borderId="1" xfId="0" applyFont="1" applyFill="1" applyBorder="1"/>
  </cellXfs>
  <cellStyles count="1">
    <cellStyle name="標準" xfId="0" builtinId="0"/>
  </cellStyles>
  <dxfs count="6">
    <dxf>
      <fill>
        <patternFill patternType="solid">
          <fgColor indexed="64"/>
          <bgColor theme="7" tint="0.59999389629810485"/>
        </patternFill>
      </fill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7" tint="0.5999938962981048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Yu Gothic"/>
        <family val="3"/>
        <charset val="128"/>
        <scheme val="minor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42A6E7-930F-48C1-8255-0961B3F4D24F}" name="テーブル1" displayName="テーブル1" ref="E2:E45" totalsRowShown="0" headerRowDxfId="5" dataDxfId="3" headerRowBorderDxfId="4" tableBorderDxfId="2" totalsRowBorderDxfId="1">
  <autoFilter ref="E2:E45" xr:uid="{E042A6E7-930F-48C1-8255-0961B3F4D24F}"/>
  <tableColumns count="1">
    <tableColumn id="1" xr3:uid="{A47BB3CB-D1EF-4B37-9B3E-3ED069040864}" name="判定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zoomScaleNormal="100" workbookViewId="0">
      <selection activeCell="D5" sqref="D5"/>
    </sheetView>
  </sheetViews>
  <sheetFormatPr defaultRowHeight="18.75"/>
  <cols>
    <col min="1" max="1" width="9.25" customWidth="1"/>
    <col min="2" max="2" width="37.75" bestFit="1" customWidth="1"/>
    <col min="4" max="4" width="12.625" customWidth="1"/>
    <col min="5" max="7" width="21" bestFit="1" customWidth="1"/>
    <col min="8" max="8" width="17.25" bestFit="1" customWidth="1"/>
    <col min="9" max="9" width="18.875" bestFit="1" customWidth="1"/>
    <col min="10" max="10" width="21.375" bestFit="1" customWidth="1"/>
    <col min="11" max="11" width="17.75" customWidth="1"/>
    <col min="13" max="13" width="19" customWidth="1"/>
  </cols>
  <sheetData>
    <row r="1" spans="1:12">
      <c r="A1" t="s">
        <v>0</v>
      </c>
    </row>
    <row r="2" spans="1:12">
      <c r="B2" s="4" t="s">
        <v>60</v>
      </c>
      <c r="C2" s="5" t="s">
        <v>1</v>
      </c>
      <c r="D2" s="6" t="s">
        <v>2</v>
      </c>
      <c r="E2" s="18" t="s">
        <v>3</v>
      </c>
      <c r="G2" s="9" t="s">
        <v>4</v>
      </c>
      <c r="H2">
        <f>SUM(C3:C45)</f>
        <v>149</v>
      </c>
    </row>
    <row r="3" spans="1:12">
      <c r="B3" s="8" t="s">
        <v>5</v>
      </c>
      <c r="C3" s="8">
        <v>2</v>
      </c>
      <c r="D3" s="8">
        <v>1</v>
      </c>
      <c r="E3" s="17" t="s">
        <v>57</v>
      </c>
      <c r="G3" s="10" t="s">
        <v>6</v>
      </c>
      <c r="H3">
        <f>SUMIF(E3:E45,"完了",C3:C45)</f>
        <v>149</v>
      </c>
      <c r="K3" t="s">
        <v>7</v>
      </c>
      <c r="L3" t="s">
        <v>8</v>
      </c>
    </row>
    <row r="4" spans="1:12">
      <c r="B4" s="8" t="s">
        <v>9</v>
      </c>
      <c r="C4" s="8">
        <v>1</v>
      </c>
      <c r="D4" s="8">
        <v>1</v>
      </c>
      <c r="E4" s="17" t="s">
        <v>54</v>
      </c>
      <c r="G4" s="11" t="s">
        <v>10</v>
      </c>
      <c r="H4" s="2">
        <f ca="1">NETWORKDAYS(H5,H6)</f>
        <v>25</v>
      </c>
      <c r="I4" t="s">
        <v>11</v>
      </c>
      <c r="J4" s="3">
        <f ca="1" xml:space="preserve"> H3 / H4</f>
        <v>5.96</v>
      </c>
      <c r="K4" s="2">
        <f ca="1">_xlfn.DAYS(H6,H5)</f>
        <v>34</v>
      </c>
      <c r="L4" s="3">
        <f ca="1">H3/K4</f>
        <v>4.382352941176471</v>
      </c>
    </row>
    <row r="5" spans="1:12">
      <c r="B5" s="8" t="s">
        <v>45</v>
      </c>
      <c r="C5" s="8">
        <f>SUM(C6:C10)</f>
        <v>3</v>
      </c>
      <c r="D5" s="8">
        <f>SUM(D6:D10)</f>
        <v>5</v>
      </c>
      <c r="E5" s="17" t="s">
        <v>54</v>
      </c>
      <c r="G5" s="12" t="s">
        <v>12</v>
      </c>
      <c r="H5" s="1">
        <f>DATE(2026,7,25)</f>
        <v>46228</v>
      </c>
    </row>
    <row r="6" spans="1:12">
      <c r="B6" s="7" t="s">
        <v>13</v>
      </c>
      <c r="C6" s="7">
        <v>1</v>
      </c>
      <c r="D6" s="7">
        <v>1</v>
      </c>
      <c r="E6" s="16" t="s">
        <v>54</v>
      </c>
      <c r="G6" s="13" t="s">
        <v>14</v>
      </c>
      <c r="H6" s="1">
        <f ca="1">TODAY()</f>
        <v>46262</v>
      </c>
    </row>
    <row r="7" spans="1:12">
      <c r="B7" s="7" t="s">
        <v>15</v>
      </c>
      <c r="C7" s="7">
        <v>0.5</v>
      </c>
      <c r="D7" s="7">
        <v>1</v>
      </c>
      <c r="E7" s="16" t="s">
        <v>54</v>
      </c>
    </row>
    <row r="8" spans="1:12">
      <c r="B8" s="7" t="s">
        <v>16</v>
      </c>
      <c r="C8" s="7">
        <v>0.5</v>
      </c>
      <c r="D8" s="7">
        <v>1</v>
      </c>
      <c r="E8" s="16" t="s">
        <v>54</v>
      </c>
    </row>
    <row r="9" spans="1:12">
      <c r="B9" s="7" t="s">
        <v>17</v>
      </c>
      <c r="C9" s="7">
        <v>0.5</v>
      </c>
      <c r="D9" s="7">
        <v>1</v>
      </c>
      <c r="E9" s="16" t="s">
        <v>54</v>
      </c>
    </row>
    <row r="10" spans="1:12">
      <c r="B10" s="7" t="s">
        <v>18</v>
      </c>
      <c r="C10" s="7">
        <v>0.5</v>
      </c>
      <c r="D10" s="7">
        <v>1</v>
      </c>
      <c r="E10" s="16" t="s">
        <v>54</v>
      </c>
    </row>
    <row r="11" spans="1:12">
      <c r="B11" s="8" t="s">
        <v>51</v>
      </c>
      <c r="C11" s="8">
        <f>SUM(C12:C21)</f>
        <v>30</v>
      </c>
      <c r="D11" s="8">
        <f>SUM(D12:D21)</f>
        <v>28</v>
      </c>
      <c r="E11" s="8" t="s">
        <v>54</v>
      </c>
      <c r="I11" t="s">
        <v>19</v>
      </c>
      <c r="J11" t="s">
        <v>20</v>
      </c>
      <c r="K11" t="s">
        <v>21</v>
      </c>
      <c r="L11" t="s">
        <v>22</v>
      </c>
    </row>
    <row r="12" spans="1:12">
      <c r="B12" s="7" t="s">
        <v>26</v>
      </c>
      <c r="C12" s="7">
        <v>3</v>
      </c>
      <c r="D12" s="7">
        <v>3</v>
      </c>
      <c r="E12" s="16" t="s">
        <v>54</v>
      </c>
      <c r="G12" s="9" t="s">
        <v>23</v>
      </c>
      <c r="H12" s="1">
        <f>DATE(2026,8,28)</f>
        <v>46262</v>
      </c>
      <c r="I12" s="2">
        <f ca="1">NETWORKDAYS(TODAY(),H12)</f>
        <v>1</v>
      </c>
      <c r="J12" s="3">
        <f ca="1">($H$2 - $H$3) / I12</f>
        <v>0</v>
      </c>
      <c r="K12">
        <f ca="1">_xlfn.DAYS(H12,$H$6)</f>
        <v>0</v>
      </c>
      <c r="L12" s="3" t="e">
        <f ca="1">($H$2 - $H$3) / K12</f>
        <v>#DIV/0!</v>
      </c>
    </row>
    <row r="13" spans="1:12">
      <c r="B13" s="7" t="s">
        <v>52</v>
      </c>
      <c r="C13" s="7">
        <v>6</v>
      </c>
      <c r="D13" s="7">
        <v>10</v>
      </c>
      <c r="E13" s="16" t="s">
        <v>54</v>
      </c>
      <c r="G13" s="14" t="s">
        <v>24</v>
      </c>
      <c r="H13" s="1">
        <f>DATE(2026,8,30)</f>
        <v>46264</v>
      </c>
      <c r="I13" s="2">
        <f t="shared" ref="I13:I14" ca="1" si="0">NETWORKDAYS(TODAY(),H13)</f>
        <v>1</v>
      </c>
      <c r="J13" s="3">
        <f ca="1">($H$2 - $H$3) / I13</f>
        <v>0</v>
      </c>
      <c r="K13">
        <f t="shared" ref="K13:K14" ca="1" si="1">_xlfn.DAYS(H13,$H$6)</f>
        <v>2</v>
      </c>
      <c r="L13" s="3">
        <f ca="1">($H$2 - $H$3) / K13</f>
        <v>0</v>
      </c>
    </row>
    <row r="14" spans="1:12">
      <c r="B14" s="7" t="s">
        <v>48</v>
      </c>
      <c r="C14" s="7">
        <v>3</v>
      </c>
      <c r="D14" s="7">
        <v>2</v>
      </c>
      <c r="E14" s="16" t="s">
        <v>54</v>
      </c>
      <c r="G14" s="11" t="s">
        <v>25</v>
      </c>
      <c r="H14" s="1">
        <f>DATE(2026,8,31)</f>
        <v>46265</v>
      </c>
      <c r="I14" s="2">
        <f t="shared" ca="1" si="0"/>
        <v>2</v>
      </c>
      <c r="J14" s="3">
        <f ca="1">($H$2 - $H$3) / I14</f>
        <v>0</v>
      </c>
      <c r="K14">
        <f t="shared" ca="1" si="1"/>
        <v>3</v>
      </c>
      <c r="L14" s="3">
        <f ca="1">($H$2 - $H$3) / K14</f>
        <v>0</v>
      </c>
    </row>
    <row r="15" spans="1:12">
      <c r="B15" s="7" t="s">
        <v>53</v>
      </c>
      <c r="C15" s="7">
        <v>3</v>
      </c>
      <c r="D15" s="7">
        <v>2</v>
      </c>
      <c r="E15" s="16" t="s">
        <v>54</v>
      </c>
    </row>
    <row r="16" spans="1:12">
      <c r="B16" s="7" t="s">
        <v>49</v>
      </c>
      <c r="C16" s="7">
        <v>3</v>
      </c>
      <c r="D16" s="7">
        <v>2</v>
      </c>
      <c r="E16" s="16" t="s">
        <v>54</v>
      </c>
    </row>
    <row r="17" spans="2:5">
      <c r="B17" s="7" t="s">
        <v>53</v>
      </c>
      <c r="C17" s="7">
        <v>2</v>
      </c>
      <c r="D17" s="7">
        <v>1</v>
      </c>
      <c r="E17" s="16" t="s">
        <v>54</v>
      </c>
    </row>
    <row r="18" spans="2:5">
      <c r="B18" s="7" t="s">
        <v>50</v>
      </c>
      <c r="C18" s="7">
        <v>3</v>
      </c>
      <c r="D18" s="7">
        <v>2</v>
      </c>
      <c r="E18" s="16" t="s">
        <v>54</v>
      </c>
    </row>
    <row r="19" spans="2:5">
      <c r="B19" s="7" t="s">
        <v>53</v>
      </c>
      <c r="C19" s="7">
        <v>2</v>
      </c>
      <c r="D19" s="7">
        <v>1</v>
      </c>
      <c r="E19" s="16" t="s">
        <v>54</v>
      </c>
    </row>
    <row r="20" spans="2:5">
      <c r="B20" s="7" t="s">
        <v>27</v>
      </c>
      <c r="C20" s="7">
        <v>2</v>
      </c>
      <c r="D20" s="7">
        <v>2</v>
      </c>
      <c r="E20" s="16" t="s">
        <v>54</v>
      </c>
    </row>
    <row r="21" spans="2:5">
      <c r="B21" s="7" t="s">
        <v>28</v>
      </c>
      <c r="C21" s="7">
        <v>3</v>
      </c>
      <c r="D21" s="7">
        <v>3</v>
      </c>
      <c r="E21" s="16" t="s">
        <v>54</v>
      </c>
    </row>
    <row r="22" spans="2:5">
      <c r="B22" s="8" t="s">
        <v>58</v>
      </c>
      <c r="C22" s="8">
        <f>SUM(C23:C24)</f>
        <v>12</v>
      </c>
      <c r="D22" s="8">
        <f>SUM(D23:D24)</f>
        <v>10</v>
      </c>
      <c r="E22" s="17" t="s">
        <v>54</v>
      </c>
    </row>
    <row r="23" spans="2:5">
      <c r="B23" s="7" t="s">
        <v>56</v>
      </c>
      <c r="C23" s="7">
        <v>10</v>
      </c>
      <c r="D23" s="7">
        <v>8</v>
      </c>
      <c r="E23" s="19" t="s">
        <v>54</v>
      </c>
    </row>
    <row r="24" spans="2:5">
      <c r="B24" s="7" t="s">
        <v>59</v>
      </c>
      <c r="C24" s="7">
        <v>2</v>
      </c>
      <c r="D24" s="7">
        <v>2</v>
      </c>
      <c r="E24" s="16" t="s">
        <v>57</v>
      </c>
    </row>
    <row r="25" spans="2:5">
      <c r="B25" s="8" t="s">
        <v>29</v>
      </c>
      <c r="C25" s="8">
        <f>SUM(C26:C27)</f>
        <v>10</v>
      </c>
      <c r="D25" s="8">
        <f>SUM(D26:D27)</f>
        <v>12</v>
      </c>
      <c r="E25" s="17" t="s">
        <v>54</v>
      </c>
    </row>
    <row r="26" spans="2:5">
      <c r="B26" s="7" t="s">
        <v>30</v>
      </c>
      <c r="C26" s="7">
        <v>5</v>
      </c>
      <c r="D26" s="7">
        <v>6</v>
      </c>
      <c r="E26" s="16" t="s">
        <v>54</v>
      </c>
    </row>
    <row r="27" spans="2:5">
      <c r="B27" s="7" t="s">
        <v>31</v>
      </c>
      <c r="C27" s="7">
        <v>5</v>
      </c>
      <c r="D27" s="7">
        <v>6</v>
      </c>
      <c r="E27" s="16" t="s">
        <v>54</v>
      </c>
    </row>
    <row r="28" spans="2:5">
      <c r="B28" s="8" t="s">
        <v>32</v>
      </c>
      <c r="C28" s="8">
        <f>SUM(C29:C31)</f>
        <v>5</v>
      </c>
      <c r="D28" s="8">
        <f>SUM(D29:D31)</f>
        <v>5</v>
      </c>
      <c r="E28" s="17" t="s">
        <v>54</v>
      </c>
    </row>
    <row r="29" spans="2:5">
      <c r="B29" s="7" t="s">
        <v>33</v>
      </c>
      <c r="C29" s="7">
        <v>2</v>
      </c>
      <c r="D29" s="7">
        <v>2</v>
      </c>
      <c r="E29" s="16" t="s">
        <v>54</v>
      </c>
    </row>
    <row r="30" spans="2:5">
      <c r="B30" s="7" t="s">
        <v>34</v>
      </c>
      <c r="C30" s="7">
        <v>2</v>
      </c>
      <c r="D30" s="7">
        <v>2</v>
      </c>
      <c r="E30" s="16" t="s">
        <v>54</v>
      </c>
    </row>
    <row r="31" spans="2:5">
      <c r="B31" s="7" t="s">
        <v>35</v>
      </c>
      <c r="C31" s="7">
        <v>1</v>
      </c>
      <c r="D31" s="7">
        <v>1</v>
      </c>
      <c r="E31" s="16" t="s">
        <v>54</v>
      </c>
    </row>
    <row r="32" spans="2:5">
      <c r="B32" s="8" t="s">
        <v>36</v>
      </c>
      <c r="C32" s="8">
        <f>SUM(C33:C41)</f>
        <v>11</v>
      </c>
      <c r="D32" s="8">
        <f>SUM(D33:D41)</f>
        <v>12</v>
      </c>
      <c r="E32" s="17" t="s">
        <v>54</v>
      </c>
    </row>
    <row r="33" spans="2:5">
      <c r="B33" s="7" t="s">
        <v>37</v>
      </c>
      <c r="C33" s="7">
        <v>1</v>
      </c>
      <c r="D33" s="7">
        <v>1</v>
      </c>
      <c r="E33" s="16" t="s">
        <v>54</v>
      </c>
    </row>
    <row r="34" spans="2:5">
      <c r="B34" s="7" t="s">
        <v>38</v>
      </c>
      <c r="C34" s="7">
        <v>1</v>
      </c>
      <c r="D34" s="7">
        <v>1</v>
      </c>
      <c r="E34" s="16" t="s">
        <v>54</v>
      </c>
    </row>
    <row r="35" spans="2:5">
      <c r="B35" s="7" t="s">
        <v>46</v>
      </c>
      <c r="C35" s="7">
        <v>1</v>
      </c>
      <c r="D35" s="7">
        <v>1</v>
      </c>
      <c r="E35" s="16" t="s">
        <v>54</v>
      </c>
    </row>
    <row r="36" spans="2:5">
      <c r="B36" s="7" t="s">
        <v>61</v>
      </c>
      <c r="C36" s="7">
        <v>1</v>
      </c>
      <c r="D36" s="7">
        <v>1</v>
      </c>
      <c r="E36" s="16" t="s">
        <v>54</v>
      </c>
    </row>
    <row r="37" spans="2:5">
      <c r="B37" s="7" t="s">
        <v>47</v>
      </c>
      <c r="C37" s="7">
        <v>1</v>
      </c>
      <c r="D37" s="7">
        <v>1</v>
      </c>
      <c r="E37" s="16" t="s">
        <v>54</v>
      </c>
    </row>
    <row r="38" spans="2:5">
      <c r="B38" s="7" t="s">
        <v>39</v>
      </c>
      <c r="C38" s="7">
        <v>1</v>
      </c>
      <c r="D38" s="7">
        <v>2</v>
      </c>
      <c r="E38" s="16" t="s">
        <v>54</v>
      </c>
    </row>
    <row r="39" spans="2:5">
      <c r="B39" s="21" t="s">
        <v>40</v>
      </c>
      <c r="C39" s="21">
        <v>2</v>
      </c>
      <c r="D39" s="21">
        <v>2</v>
      </c>
      <c r="E39" s="16" t="s">
        <v>54</v>
      </c>
    </row>
    <row r="40" spans="2:5">
      <c r="B40" s="21" t="s">
        <v>62</v>
      </c>
      <c r="C40" s="21">
        <v>2</v>
      </c>
      <c r="D40" s="21">
        <v>2</v>
      </c>
      <c r="E40" s="16" t="s">
        <v>54</v>
      </c>
    </row>
    <row r="41" spans="2:5">
      <c r="B41" s="21" t="s">
        <v>63</v>
      </c>
      <c r="C41" s="21">
        <v>1</v>
      </c>
      <c r="D41" s="21">
        <v>1</v>
      </c>
      <c r="E41" s="16" t="s">
        <v>54</v>
      </c>
    </row>
    <row r="42" spans="2:5">
      <c r="B42" s="8" t="s">
        <v>41</v>
      </c>
      <c r="C42" s="8">
        <f>SUM(C43:C44)</f>
        <v>2</v>
      </c>
      <c r="D42" s="8">
        <f>SUM(D43:D44)</f>
        <v>2</v>
      </c>
      <c r="E42" s="17" t="s">
        <v>54</v>
      </c>
    </row>
    <row r="43" spans="2:5">
      <c r="B43" s="7" t="s">
        <v>42</v>
      </c>
      <c r="C43" s="7">
        <v>1</v>
      </c>
      <c r="D43" s="7">
        <v>1</v>
      </c>
      <c r="E43" s="16" t="s">
        <v>54</v>
      </c>
    </row>
    <row r="44" spans="2:5">
      <c r="B44" s="7" t="s">
        <v>43</v>
      </c>
      <c r="C44" s="7">
        <v>1</v>
      </c>
      <c r="D44" s="7">
        <v>1</v>
      </c>
      <c r="E44" s="19" t="s">
        <v>54</v>
      </c>
    </row>
    <row r="45" spans="2:5">
      <c r="B45" s="8" t="s">
        <v>44</v>
      </c>
      <c r="C45" s="8"/>
      <c r="D45" s="20"/>
      <c r="E45" s="8" t="s">
        <v>55</v>
      </c>
    </row>
    <row r="46" spans="2:5">
      <c r="D46" s="15"/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416D-9062-4DAF-A047-57AB4A8BE771}">
  <dimension ref="A1"/>
  <sheetViews>
    <sheetView workbookViewId="0">
      <selection activeCell="C27" sqref="C27"/>
    </sheetView>
  </sheetViews>
  <sheetFormatPr defaultRowHeight="18.7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D2C22-999A-42D4-BD4F-8D4FC0E5041D}">
  <dimension ref="A1"/>
  <sheetViews>
    <sheetView workbookViewId="0">
      <selection activeCell="D27" sqref="D27"/>
    </sheetView>
  </sheetViews>
  <sheetFormatPr defaultRowHeight="18.75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4457C4DEF6B04C80335F04D9CFE9B8" ma:contentTypeVersion="15" ma:contentTypeDescription="新しいドキュメントを作成します。" ma:contentTypeScope="" ma:versionID="384833ccc4364158daff1dfa93252050">
  <xsd:schema xmlns:xsd="http://www.w3.org/2001/XMLSchema" xmlns:xs="http://www.w3.org/2001/XMLSchema" xmlns:p="http://schemas.microsoft.com/office/2006/metadata/properties" xmlns:ns2="42b7366e-3919-4bb8-9917-4115af4f71f0" xmlns:ns3="3fed6739-56b2-4f96-bdeb-921328dde709" targetNamespace="http://schemas.microsoft.com/office/2006/metadata/properties" ma:root="true" ma:fieldsID="8d3663068ba8e99c0b99c921911a4360" ns2:_="" ns3:_="">
    <xsd:import namespace="42b7366e-3919-4bb8-9917-4115af4f71f0"/>
    <xsd:import namespace="3fed6739-56b2-4f96-bdeb-921328dde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7366e-3919-4bb8-9917-4115af4f7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d6739-56b2-4f96-bdeb-921328dde70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33731c5-1d9c-498f-8754-23ebfc73d042}" ma:internalName="TaxCatchAll" ma:showField="CatchAllData" ma:web="3fed6739-56b2-4f96-bdeb-921328dde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d6739-56b2-4f96-bdeb-921328dde709" xsi:nil="true"/>
    <lcf76f155ced4ddcb4097134ff3c332f xmlns="42b7366e-3919-4bb8-9917-4115af4f71f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A044FE-1970-4C5E-9C63-D8FEC9524E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7366e-3919-4bb8-9917-4115af4f71f0"/>
    <ds:schemaRef ds:uri="3fed6739-56b2-4f96-bdeb-921328dde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D2B120-A90D-496C-8884-A2A9574072D6}">
  <ds:schemaRefs>
    <ds:schemaRef ds:uri="http://schemas.microsoft.com/office/2006/metadata/properties"/>
    <ds:schemaRef ds:uri="http://schemas.microsoft.com/office/infopath/2007/PartnerControls"/>
    <ds:schemaRef ds:uri="3fed6739-56b2-4f96-bdeb-921328dde709"/>
    <ds:schemaRef ds:uri="42b7366e-3919-4bb8-9917-4115af4f71f0"/>
  </ds:schemaRefs>
</ds:datastoreItem>
</file>

<file path=customXml/itemProps3.xml><?xml version="1.0" encoding="utf-8"?>
<ds:datastoreItem xmlns:ds="http://schemas.openxmlformats.org/officeDocument/2006/customXml" ds:itemID="{393EE603-C983-481A-9007-FE0C7A6F7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プロト</vt:lpstr>
      <vt:lpstr>ベータ</vt:lpstr>
      <vt:lpstr>マスタ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teacherM</dc:creator>
  <cp:keywords/>
  <dc:description/>
  <cp:lastModifiedBy>寺尾　彪翔</cp:lastModifiedBy>
  <cp:revision/>
  <dcterms:created xsi:type="dcterms:W3CDTF">2015-06-05T18:19:34Z</dcterms:created>
  <dcterms:modified xsi:type="dcterms:W3CDTF">2026-08-28T11:01:00Z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0x010100914457C4DEF6B04C80335F04D9CFE9B8</vt:lpwstr>
  </property>
  <property fmtid="{D5CDD505-2E9C-101B-9397-08002B2CF9AE}" pid="3" name="MediaServiceImageTags">
    <vt:lpwstr/>
  </property>
</Properties>
</file>